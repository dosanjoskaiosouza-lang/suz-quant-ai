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aluation Suzano" sheetId="1" state="visible" r:id="rId3"/>
    <sheet name="Notas e Fon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<sst xmlns="http://schemas.openxmlformats.org/spreadsheetml/2006/main" count="78" uniqueCount="52">
  <si>
    <t xml:space="preserve">SUZANO S.A. (SUZ) — Análise de Valuation por Múltiplos</t>
  </si>
  <si>
    <t xml:space="preserve">Exercícios 2023 a 2025 • Valores em R$ bilhões, exceto quando indicado • Fonte cor azul = dado de entrada; preto = fórmula</t>
  </si>
  <si>
    <t xml:space="preserve">1. Cotação do ADR no Fechamento do Exercício (US$)</t>
  </si>
  <si>
    <t xml:space="preserve">Ano</t>
  </si>
  <si>
    <t xml:space="preserve">Data-base</t>
  </si>
  <si>
    <t xml:space="preserve">ADR SUZ (US$)</t>
  </si>
  <si>
    <t xml:space="preserve">2023</t>
  </si>
  <si>
    <t xml:space="preserve">2024</t>
  </si>
  <si>
    <t xml:space="preserve">2025</t>
  </si>
  <si>
    <t xml:space="preserve">Critério: cotação de fechamento do último pregão de cada exercício. Em 2023, 31/12 foi domingo → 29/12/2023.</t>
  </si>
  <si>
    <t xml:space="preserve">2. Ações Consideradas no Valor de Mercado</t>
  </si>
  <si>
    <t xml:space="preserve">Total de ações</t>
  </si>
  <si>
    <t xml:space="preserve">Ações em tesouraria</t>
  </si>
  <si>
    <t xml:space="preserve">Ações consideradas</t>
  </si>
  <si>
    <t xml:space="preserve">1 ação ordinária = 1 ADR. Ações em tesouraria são deduzidas do total de ações ordinárias.</t>
  </si>
  <si>
    <t xml:space="preserve">3. Valor de Mercado Convertido para Reais (PTAX de venda, BCB)</t>
  </si>
  <si>
    <t xml:space="preserve">VM em US$ (bi)</t>
  </si>
  <si>
    <t xml:space="preserve">PTAX venda (R$/US$)</t>
  </si>
  <si>
    <t xml:space="preserve">VM convertido (R$ bi)</t>
  </si>
  <si>
    <t xml:space="preserve">VM (US$) = ADR × ações consideradas. Mesma data da cotação do ADR; PTAX venda consultada no Banco Central do Brasil.</t>
  </si>
  <si>
    <t xml:space="preserve">4. Múltiplo VM/EBITDA</t>
  </si>
  <si>
    <t xml:space="preserve">Valor de Mercado</t>
  </si>
  <si>
    <t xml:space="preserve">EBITDA consolidado</t>
  </si>
  <si>
    <t xml:space="preserve">VM/EBITDA</t>
  </si>
  <si>
    <t xml:space="preserve">VM/EBITDA = Valor de Mercado ÷ EBITDA consolidado.</t>
  </si>
  <si>
    <t xml:space="preserve">5. Múltiplo VM/Lucro Líquido</t>
  </si>
  <si>
    <t xml:space="preserve">Lucro/Prejuízo líquido</t>
  </si>
  <si>
    <t xml:space="preserve">VM/Lucro líquido</t>
  </si>
  <si>
    <t xml:space="preserve">VM/Lucro Líquido = Valor de Mercado ÷ Resultado líquido consolidado. 2024 negativo (prejuízo) → múltiplo sem significado econômico.</t>
  </si>
  <si>
    <t xml:space="preserve">6. Múltiplo P/L (Preço do ADR em R$ ÷ Lucro por Ação)</t>
  </si>
  <si>
    <t xml:space="preserve">ADR convertido (R$)</t>
  </si>
  <si>
    <t xml:space="preserve">LPA básico (R$)</t>
  </si>
  <si>
    <t xml:space="preserve">P/L</t>
  </si>
  <si>
    <t xml:space="preserve">ADR convertido = cotação do ADR (US$) × PTAX de venda.</t>
  </si>
  <si>
    <t xml:space="preserve">7. Síntese do Valuation</t>
  </si>
  <si>
    <t xml:space="preserve">Indicador</t>
  </si>
  <si>
    <t xml:space="preserve">Média*</t>
  </si>
  <si>
    <t xml:space="preserve">Valor de Mercado (VM)</t>
  </si>
  <si>
    <t xml:space="preserve">VM/Lucro Líquido</t>
  </si>
  <si>
    <t xml:space="preserve">*Média: VM e VM/EBITDA usam os 3 anos; VM/Lucro Líquido e P/L consideram apenas anos com lucro (exclui 2024, prejuízo).</t>
  </si>
  <si>
    <t xml:space="preserve">Metodologia</t>
  </si>
  <si>
    <t xml:space="preserve">• Preço do ADR: cotação de fechamento do último pregão de cada exercício, próxima à data-base das demonstrações financeiras.</t>
  </si>
  <si>
    <t xml:space="preserve">• Quantidade de ações: total de ações ordinárias menos ações em tesouraria; 1 ação ordinária = 1 ADR.</t>
  </si>
  <si>
    <t xml:space="preserve">• Conversão cambial: PTAX de venda (Banco Central do Brasil) na mesma data da cotação do ADR, aplicada de forma uniforme aos três exercícios.</t>
  </si>
  <si>
    <t xml:space="preserve">• EBITDA e lucro líquido estão em reais; por isso o Valor de Mercado (US$) é convertido para R$ antes de calcular os múltiplos.</t>
  </si>
  <si>
    <t xml:space="preserve">Legenda de cores</t>
  </si>
  <si>
    <t xml:space="preserve">• Fonte azul = dado de entrada (informado nas demonstrações financeiras / cotações); fonte preta = fórmula.</t>
  </si>
  <si>
    <t xml:space="preserve">• Verde e azul institucional: paleta inspirada na identidade visual da Suzano (tons aproximados).</t>
  </si>
  <si>
    <t xml:space="preserve">Observações</t>
  </si>
  <si>
    <t xml:space="preserve">• 2024: prejuízo líquido (R$ 7,045 bi) gera múltiplos VM/Lucro Líquido e P/L negativos, sem interpretação econômica usual.</t>
  </si>
  <si>
    <t xml:space="preserve">• Pequenas diferenças de arredondamento em relação aos valores originais são esperadas, pois a planilha calcula por fórmulas.</t>
  </si>
  <si>
    <t xml:space="preserve">• Fonte de câmbio: Banco Central do Brasil — Histórico de Cotações.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</si>
</sst>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dd/mm/yyyy"/>
    <numFmt numFmtId="166" formatCode="&quot;US$ &quot;0.00"/>
    <numFmt numFmtId="167" formatCode="#,##0"/>
    <numFmt numFmtId="168" formatCode="&quot;US$ &quot;#,##0.000&quot; bi&quot;"/>
    <numFmt numFmtId="169" formatCode="&quot;R$ &quot;0.0000"/>
    <numFmt numFmtId="170" formatCode="&quot;R$ &quot;#,##0.000&quot; bi&quot;;&quot;-R$ &quot;#,##0.000&quot; bi&quot;"/>
    <numFmt numFmtId="171" formatCode="0.00\x;\-0.00\x"/>
    <numFmt numFmtId="172" formatCode="&quot;R$ &quot;#,##0.000"/>
    <numFmt numFmtId="173" formatCode="&quot;R$ &quot;0.00000"/>
    <numFmt numFmtId="174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4D2A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004D2A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04D2A"/>
        <bgColor rgb="FF00703C"/>
      </patternFill>
    </fill>
    <fill>
      <patternFill patternType="solid">
        <fgColor rgb="FF00703C"/>
        <bgColor rgb="FF008080"/>
      </patternFill>
    </fill>
    <fill>
      <patternFill patternType="solid">
        <fgColor rgb="FFE6F4EC"/>
        <bgColor rgb="FFCFE8D9"/>
      </patternFill>
    </fill>
    <fill>
      <patternFill patternType="solid">
        <fgColor rgb="FFFFFFFF"/>
        <bgColor rgb="FFFFFFCC"/>
      </patternFill>
    </fill>
    <fill>
      <patternFill patternType="solid">
        <fgColor rgb="FFCFE8D9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D8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1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9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13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703C"/>
      <rgbColor rgb="FF000080"/>
      <rgbColor rgb="FF808000"/>
      <rgbColor rgb="FF800080"/>
      <rgbColor rgb="FF008080"/>
      <rgbColor rgb="FFB7D8C5"/>
      <rgbColor rgb="FF878787"/>
      <rgbColor rgb="FF9999FF"/>
      <rgbColor rgb="FF993366"/>
      <rgbColor rgb="FFFFFFCC"/>
      <rgbColor rgb="FFE6F4EC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8D9"/>
      <rgbColor rgb="FFFFFF99"/>
      <rgbColor rgb="FF99CCFF"/>
      <rgbColor rgb="FFFF99CC"/>
      <rgbColor rgb="FFCC99FF"/>
      <rgbColor rgb="FFFFCC99"/>
      <rgbColor rgb="FF3366FF"/>
      <rgbColor rgb="FF33CCCC"/>
      <rgbColor rgb="FF8DC63F"/>
      <rgbColor rgb="FFFFCC00"/>
      <rgbColor rgb="FFFF9900"/>
      <rgbColor rgb="FFFF6600"/>
      <rgbColor rgb="FF555555"/>
      <rgbColor rgb="FF969696"/>
      <rgbColor rgb="FF0B3C8C"/>
      <rgbColor rgb="FF339966"/>
      <rgbColor rgb="FF004D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Múltiplos por exercício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'Valuation Suzano'!B49</c:f>
              <c:strCache>
                <c:ptCount val="1"/>
                <c:pt idx="0">
                  <c:v>VM/EBITDA</c:v>
                </c:pt>
              </c:strCache>
            </c:strRef>
          </c:tx>
          <c:spPr>
            <a:solidFill>
              <a:srgbClr val="00703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Suzano'!$C$47:$E$47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'Valuation Suzano'!$C$49:$E$49</c:f>
              <c:numCache>
                <c:formatCode>0.00\x;\-0.00\x</c:formatCode>
                <c:ptCount val="3"/>
                <c:pt idx="0">
                  <c:v>3.62955977786219</c:v>
                </c:pt>
                <c:pt idx="1">
                  <c:v>3.11693448026598</c:v>
                </c:pt>
                <c:pt idx="2">
                  <c:v>2.89421026934074</c:v>
                </c:pt>
              </c:numCache>
            </c:numRef>
          </c:val>
        </c:ser>
        <c:ser>
          <c:idx val="1"/>
          <c:order val="1"/>
          <c:tx>
            <c:strRef>
              <c:f>'Valuation Suzano'!B50</c:f>
              <c:strCache>
                <c:ptCount val="1"/>
                <c:pt idx="0">
                  <c:v>VM/Lucro Líquido</c:v>
                </c:pt>
              </c:strCache>
            </c:strRef>
          </c:tx>
          <c:spPr>
            <a:solidFill>
              <a:srgbClr val="0b3c8c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Suzano'!$C$47:$E$47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'Valuation Suzano'!$C$50:$E$50</c:f>
              <c:numCache>
                <c:formatCode>0.00\x;\-0.00\x</c:formatCode>
                <c:ptCount val="3"/>
                <c:pt idx="0">
                  <c:v>5.0269891804972</c:v>
                </c:pt>
                <c:pt idx="1">
                  <c:v>-11.0231969589534</c:v>
                </c:pt>
                <c:pt idx="2">
                  <c:v>4.72662141471587</c:v>
                </c:pt>
              </c:numCache>
            </c:numRef>
          </c:val>
        </c:ser>
        <c:ser>
          <c:idx val="2"/>
          <c:order val="2"/>
          <c:tx>
            <c:strRef>
              <c:f>'Valuation Suzano'!B51</c:f>
              <c:strCache>
                <c:ptCount val="1"/>
                <c:pt idx="0">
                  <c:v>P/L</c:v>
                </c:pt>
              </c:strCache>
            </c:strRef>
          </c:tx>
          <c:spPr>
            <a:solidFill>
              <a:srgbClr val="8dc63f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'Valuation Suzano'!$C$47:$E$47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'Valuation Suzano'!$C$51:$E$51</c:f>
              <c:numCache>
                <c:formatCode>0.00\x;\-0.00\x</c:formatCode>
                <c:ptCount val="3"/>
                <c:pt idx="0">
                  <c:v>5.06515674243917</c:v>
                </c:pt>
                <c:pt idx="1">
                  <c:v>-11.2041157634455</c:v>
                </c:pt>
                <c:pt idx="2">
                  <c:v>4.74017131699362</c:v>
                </c:pt>
              </c:numCache>
            </c:numRef>
          </c:val>
        </c:ser>
        <c:gapWidth val="150"/>
        <c:overlap val="0"/>
        <c:axId val="14520859"/>
        <c:axId val="91794686"/>
      </c:barChart>
      <c:catAx>
        <c:axId val="14520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794686"/>
        <c:crosses val="autoZero"/>
        <c:auto val="1"/>
        <c:lblAlgn val="ctr"/>
        <c:lblOffset val="100"/>
        <c:noMultiLvlLbl val="0"/>
      </c:catAx>
      <c:valAx>
        <c:axId val="917946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Múltiplo (x)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x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52085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54</xdr:row>
      <xdr:rowOff>0</xdr:rowOff>
    </xdr:from>
    <xdr:to>
      <xdr:col>4</xdr:col>
      <xdr:colOff>622080</xdr:colOff>
      <xdr:row>70</xdr:row>
      <xdr:rowOff>11520</xdr:rowOff>
    </xdr:to>
    <xdr:graphicFrame>
      <xdr:nvGraphicFramePr>
        <xdr:cNvPr id="0" name="Chart 1"/>
        <xdr:cNvGraphicFramePr/>
      </xdr:nvGraphicFramePr>
      <xdr:xfrm>
        <a:off x="141120" y="11763360"/>
        <a:ext cx="611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03C"/>
    <pageSetUpPr fitToPage="true"/>
  </sheetPr>
  <dimension ref="B1:F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5" min="3" style="0" width="22"/>
    <col collapsed="false" customWidth="true" hidden="false" outlineLevel="0" max="6" min="6" style="0" width="18"/>
    <col collapsed="false" customWidth="true" hidden="false" outlineLevel="0" max="7" min="7" style="0" width="2"/>
  </cols>
  <sheetData>
    <row r="1" customFormat="false" ht="27.75" hidden="false" customHeight="tru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24" hidden="false" customHeight="true" outlineLevel="0" collapsed="false">
      <c r="B4" s="3" t="s">
        <v>2</v>
      </c>
      <c r="C4" s="3"/>
      <c r="D4" s="3"/>
    </row>
    <row r="5" customFormat="false" ht="21.75" hidden="false" customHeight="true" outlineLevel="0" collapsed="false">
      <c r="B5" s="4" t="s">
        <v>3</v>
      </c>
      <c r="C5" s="5" t="s">
        <v>4</v>
      </c>
      <c r="D5" s="5" t="s">
        <v>5</v>
      </c>
    </row>
    <row r="6" customFormat="false" ht="15" hidden="false" customHeight="false" outlineLevel="0" collapsed="false">
      <c r="B6" s="6" t="s">
        <v>6</v>
      </c>
      <c r="C6" s="7" t="n">
        <v>45289</v>
      </c>
      <c r="D6" s="8" t="n">
        <v>11.36</v>
      </c>
    </row>
    <row r="7" customFormat="false" ht="15" hidden="false" customHeight="false" outlineLevel="0" collapsed="false">
      <c r="B7" s="9" t="s">
        <v>7</v>
      </c>
      <c r="C7" s="10" t="n">
        <v>45657</v>
      </c>
      <c r="D7" s="11" t="n">
        <v>10.12</v>
      </c>
    </row>
    <row r="8" customFormat="false" ht="15" hidden="false" customHeight="false" outlineLevel="0" collapsed="false">
      <c r="B8" s="6" t="s">
        <v>8</v>
      </c>
      <c r="C8" s="7" t="n">
        <v>46022</v>
      </c>
      <c r="D8" s="8" t="n">
        <v>9.34</v>
      </c>
    </row>
    <row r="9" customFormat="false" ht="15" hidden="false" customHeight="false" outlineLevel="0" collapsed="false">
      <c r="B9" s="12" t="s">
        <v>9</v>
      </c>
    </row>
    <row r="11" customFormat="false" ht="24" hidden="false" customHeight="true" outlineLevel="0" collapsed="false">
      <c r="B11" s="3" t="s">
        <v>10</v>
      </c>
      <c r="C11" s="3"/>
      <c r="D11" s="3"/>
    </row>
    <row r="12" customFormat="false" ht="21.75" hidden="false" customHeight="true" outlineLevel="0" collapsed="false">
      <c r="B12" s="4" t="s">
        <v>3</v>
      </c>
      <c r="C12" s="5" t="s">
        <v>11</v>
      </c>
      <c r="D12" s="5" t="s">
        <v>12</v>
      </c>
      <c r="E12" s="5" t="s">
        <v>13</v>
      </c>
    </row>
    <row r="13" customFormat="false" ht="15" hidden="false" customHeight="false" outlineLevel="0" collapsed="false">
      <c r="B13" s="6" t="s">
        <v>6</v>
      </c>
      <c r="C13" s="13" t="n">
        <v>1324117615</v>
      </c>
      <c r="D13" s="13" t="n">
        <v>34765600</v>
      </c>
      <c r="E13" s="14" t="n">
        <f aca="false">C13-D13</f>
        <v>1289352015</v>
      </c>
    </row>
    <row r="14" customFormat="false" ht="15" hidden="false" customHeight="false" outlineLevel="0" collapsed="false">
      <c r="B14" s="9" t="s">
        <v>7</v>
      </c>
      <c r="C14" s="15" t="n">
        <v>1264117615</v>
      </c>
      <c r="D14" s="15" t="n">
        <v>24875787</v>
      </c>
      <c r="E14" s="14" t="n">
        <f aca="false">C14-D14</f>
        <v>1239241828</v>
      </c>
    </row>
    <row r="15" customFormat="false" ht="15" hidden="false" customHeight="false" outlineLevel="0" collapsed="false">
      <c r="B15" s="6" t="s">
        <v>8</v>
      </c>
      <c r="C15" s="13" t="n">
        <v>1264117615</v>
      </c>
      <c r="D15" s="13" t="n">
        <v>28208827</v>
      </c>
      <c r="E15" s="14" t="n">
        <f aca="false">C15-D15</f>
        <v>1235908788</v>
      </c>
    </row>
    <row r="16" customFormat="false" ht="15" hidden="false" customHeight="false" outlineLevel="0" collapsed="false">
      <c r="B16" s="12" t="s">
        <v>14</v>
      </c>
    </row>
    <row r="18" customFormat="false" ht="24" hidden="false" customHeight="true" outlineLevel="0" collapsed="false">
      <c r="B18" s="3" t="s">
        <v>15</v>
      </c>
      <c r="C18" s="3"/>
      <c r="D18" s="3"/>
    </row>
    <row r="19" customFormat="false" ht="21.75" hidden="false" customHeight="true" outlineLevel="0" collapsed="false">
      <c r="B19" s="4" t="s">
        <v>3</v>
      </c>
      <c r="C19" s="5" t="s">
        <v>16</v>
      </c>
      <c r="D19" s="5" t="s">
        <v>17</v>
      </c>
      <c r="E19" s="5" t="s">
        <v>18</v>
      </c>
    </row>
    <row r="20" customFormat="false" ht="15" hidden="false" customHeight="false" outlineLevel="0" collapsed="false">
      <c r="B20" s="6" t="s">
        <v>6</v>
      </c>
      <c r="C20" s="16" t="n">
        <f aca="false">D6*E13/1000000000</f>
        <v>14.6470388904</v>
      </c>
      <c r="D20" s="17" t="n">
        <v>4.8413</v>
      </c>
      <c r="E20" s="18" t="n">
        <f aca="false">C20*D20</f>
        <v>70.9107093800935</v>
      </c>
    </row>
    <row r="21" customFormat="false" ht="15" hidden="false" customHeight="false" outlineLevel="0" collapsed="false">
      <c r="B21" s="9" t="s">
        <v>7</v>
      </c>
      <c r="C21" s="19" t="n">
        <f aca="false">D7*E14/1000000000</f>
        <v>12.54112729936</v>
      </c>
      <c r="D21" s="20" t="n">
        <v>6.1923</v>
      </c>
      <c r="E21" s="18" t="n">
        <f aca="false">C21*D21</f>
        <v>77.6584225758269</v>
      </c>
    </row>
    <row r="22" customFormat="false" ht="15" hidden="false" customHeight="false" outlineLevel="0" collapsed="false">
      <c r="B22" s="6" t="s">
        <v>8</v>
      </c>
      <c r="C22" s="16" t="n">
        <f aca="false">D8*E15/1000000000</f>
        <v>11.54338807992</v>
      </c>
      <c r="D22" s="17" t="n">
        <v>5.5024</v>
      </c>
      <c r="E22" s="18" t="n">
        <f aca="false">C22*D22</f>
        <v>63.5163385709518</v>
      </c>
    </row>
    <row r="23" customFormat="false" ht="15" hidden="false" customHeight="false" outlineLevel="0" collapsed="false">
      <c r="B23" s="12" t="s">
        <v>19</v>
      </c>
    </row>
    <row r="25" customFormat="false" ht="24" hidden="false" customHeight="true" outlineLevel="0" collapsed="false">
      <c r="B25" s="3" t="s">
        <v>20</v>
      </c>
      <c r="C25" s="3"/>
      <c r="D25" s="3"/>
    </row>
    <row r="26" customFormat="false" ht="21.75" hidden="false" customHeight="true" outlineLevel="0" collapsed="false">
      <c r="B26" s="4" t="s">
        <v>3</v>
      </c>
      <c r="C26" s="5" t="s">
        <v>21</v>
      </c>
      <c r="D26" s="5" t="s">
        <v>22</v>
      </c>
      <c r="E26" s="5" t="s">
        <v>23</v>
      </c>
    </row>
    <row r="27" customFormat="false" ht="15" hidden="false" customHeight="false" outlineLevel="0" collapsed="false">
      <c r="B27" s="6" t="s">
        <v>6</v>
      </c>
      <c r="C27" s="21" t="n">
        <f aca="false">E20</f>
        <v>70.9107093800935</v>
      </c>
      <c r="D27" s="22" t="n">
        <v>19.537</v>
      </c>
      <c r="E27" s="23" t="n">
        <f aca="false">IFERROR(C27/D27,0)</f>
        <v>3.62955977786219</v>
      </c>
    </row>
    <row r="28" customFormat="false" ht="15" hidden="false" customHeight="false" outlineLevel="0" collapsed="false">
      <c r="B28" s="9" t="s">
        <v>7</v>
      </c>
      <c r="C28" s="24" t="n">
        <f aca="false">E21</f>
        <v>77.6584225758269</v>
      </c>
      <c r="D28" s="25" t="n">
        <v>24.915</v>
      </c>
      <c r="E28" s="23" t="n">
        <f aca="false">IFERROR(C28/D28,0)</f>
        <v>3.11693448026598</v>
      </c>
    </row>
    <row r="29" customFormat="false" ht="15" hidden="false" customHeight="false" outlineLevel="0" collapsed="false">
      <c r="B29" s="6" t="s">
        <v>8</v>
      </c>
      <c r="C29" s="21" t="n">
        <f aca="false">E22</f>
        <v>63.5163385709518</v>
      </c>
      <c r="D29" s="22" t="n">
        <v>21.946</v>
      </c>
      <c r="E29" s="23" t="n">
        <f aca="false">IFERROR(C29/D29,0)</f>
        <v>2.89421026934074</v>
      </c>
    </row>
    <row r="30" customFormat="false" ht="15" hidden="false" customHeight="false" outlineLevel="0" collapsed="false">
      <c r="B30" s="12" t="s">
        <v>24</v>
      </c>
    </row>
    <row r="32" customFormat="false" ht="24" hidden="false" customHeight="true" outlineLevel="0" collapsed="false">
      <c r="B32" s="3" t="s">
        <v>25</v>
      </c>
      <c r="C32" s="3"/>
      <c r="D32" s="3"/>
    </row>
    <row r="33" customFormat="false" ht="21.75" hidden="false" customHeight="true" outlineLevel="0" collapsed="false">
      <c r="B33" s="4" t="s">
        <v>3</v>
      </c>
      <c r="C33" s="5" t="s">
        <v>21</v>
      </c>
      <c r="D33" s="5" t="s">
        <v>26</v>
      </c>
      <c r="E33" s="5" t="s">
        <v>27</v>
      </c>
    </row>
    <row r="34" customFormat="false" ht="15" hidden="false" customHeight="false" outlineLevel="0" collapsed="false">
      <c r="B34" s="6" t="s">
        <v>6</v>
      </c>
      <c r="C34" s="21" t="n">
        <f aca="false">E20</f>
        <v>70.9107093800935</v>
      </c>
      <c r="D34" s="22" t="n">
        <v>14.106</v>
      </c>
      <c r="E34" s="23" t="n">
        <f aca="false">IFERROR(C34/D34,0)</f>
        <v>5.0269891804972</v>
      </c>
    </row>
    <row r="35" customFormat="false" ht="15" hidden="false" customHeight="false" outlineLevel="0" collapsed="false">
      <c r="B35" s="9" t="s">
        <v>7</v>
      </c>
      <c r="C35" s="24" t="n">
        <f aca="false">E21</f>
        <v>77.6584225758269</v>
      </c>
      <c r="D35" s="25" t="n">
        <v>-7.045</v>
      </c>
      <c r="E35" s="23" t="n">
        <f aca="false">IFERROR(C35/D35,0)</f>
        <v>-11.0231969589534</v>
      </c>
    </row>
    <row r="36" customFormat="false" ht="15" hidden="false" customHeight="false" outlineLevel="0" collapsed="false">
      <c r="B36" s="6" t="s">
        <v>8</v>
      </c>
      <c r="C36" s="21" t="n">
        <f aca="false">E22</f>
        <v>63.5163385709518</v>
      </c>
      <c r="D36" s="22" t="n">
        <v>13.438</v>
      </c>
      <c r="E36" s="23" t="n">
        <f aca="false">IFERROR(C36/D36,0)</f>
        <v>4.72662141471587</v>
      </c>
    </row>
    <row r="37" customFormat="false" ht="15" hidden="false" customHeight="false" outlineLevel="0" collapsed="false">
      <c r="B37" s="12" t="s">
        <v>28</v>
      </c>
    </row>
    <row r="39" customFormat="false" ht="24" hidden="false" customHeight="true" outlineLevel="0" collapsed="false">
      <c r="B39" s="3" t="s">
        <v>29</v>
      </c>
      <c r="C39" s="3"/>
      <c r="D39" s="3"/>
    </row>
    <row r="40" customFormat="false" ht="21.75" hidden="false" customHeight="true" outlineLevel="0" collapsed="false">
      <c r="B40" s="4" t="s">
        <v>3</v>
      </c>
      <c r="C40" s="5" t="s">
        <v>30</v>
      </c>
      <c r="D40" s="5" t="s">
        <v>31</v>
      </c>
      <c r="E40" s="5" t="s">
        <v>32</v>
      </c>
    </row>
    <row r="41" customFormat="false" ht="15" hidden="false" customHeight="false" outlineLevel="0" collapsed="false">
      <c r="B41" s="6" t="s">
        <v>6</v>
      </c>
      <c r="C41" s="26" t="n">
        <f aca="false">D6*D20</f>
        <v>54.997168</v>
      </c>
      <c r="D41" s="27" t="n">
        <v>10.85794</v>
      </c>
      <c r="E41" s="23" t="n">
        <f aca="false">IFERROR(C41/D41,0)</f>
        <v>5.06515674243917</v>
      </c>
    </row>
    <row r="42" customFormat="false" ht="15" hidden="false" customHeight="false" outlineLevel="0" collapsed="false">
      <c r="B42" s="9" t="s">
        <v>7</v>
      </c>
      <c r="C42" s="28" t="n">
        <f aca="false">D7*D21</f>
        <v>62.666076</v>
      </c>
      <c r="D42" s="29" t="n">
        <v>-5.59313</v>
      </c>
      <c r="E42" s="23" t="n">
        <f aca="false">IFERROR(C42/D42,0)</f>
        <v>-11.2041157634455</v>
      </c>
    </row>
    <row r="43" customFormat="false" ht="15" hidden="false" customHeight="false" outlineLevel="0" collapsed="false">
      <c r="B43" s="6" t="s">
        <v>8</v>
      </c>
      <c r="C43" s="26" t="n">
        <f aca="false">D8*D22</f>
        <v>51.392416</v>
      </c>
      <c r="D43" s="27" t="n">
        <v>10.84189</v>
      </c>
      <c r="E43" s="23" t="n">
        <f aca="false">IFERROR(C43/D43,0)</f>
        <v>4.74017131699362</v>
      </c>
    </row>
    <row r="44" customFormat="false" ht="15" hidden="false" customHeight="false" outlineLevel="0" collapsed="false">
      <c r="B44" s="12" t="s">
        <v>33</v>
      </c>
    </row>
    <row r="46" customFormat="false" ht="24" hidden="false" customHeight="true" outlineLevel="0" collapsed="false">
      <c r="B46" s="3" t="s">
        <v>34</v>
      </c>
      <c r="C46" s="3"/>
      <c r="D46" s="3"/>
      <c r="E46" s="3"/>
      <c r="F46" s="3"/>
    </row>
    <row r="47" customFormat="false" ht="15" hidden="false" customHeight="false" outlineLevel="0" collapsed="false">
      <c r="B47" s="30" t="s">
        <v>35</v>
      </c>
      <c r="C47" s="31" t="s">
        <v>6</v>
      </c>
      <c r="D47" s="31" t="s">
        <v>7</v>
      </c>
      <c r="E47" s="31" t="s">
        <v>8</v>
      </c>
      <c r="F47" s="31" t="s">
        <v>36</v>
      </c>
    </row>
    <row r="48" customFormat="false" ht="15" hidden="false" customHeight="false" outlineLevel="0" collapsed="false">
      <c r="B48" s="32" t="s">
        <v>37</v>
      </c>
      <c r="C48" s="33" t="n">
        <f aca="false">E20</f>
        <v>70.9107093800935</v>
      </c>
      <c r="D48" s="33" t="n">
        <f aca="false">E21</f>
        <v>77.6584225758269</v>
      </c>
      <c r="E48" s="33" t="n">
        <f aca="false">E22</f>
        <v>63.5163385709518</v>
      </c>
      <c r="F48" s="34" t="n">
        <f aca="false">AVERAGE(C48:E48)</f>
        <v>70.6951568422908</v>
      </c>
    </row>
    <row r="49" customFormat="false" ht="15" hidden="false" customHeight="false" outlineLevel="0" collapsed="false">
      <c r="B49" s="35" t="s">
        <v>23</v>
      </c>
      <c r="C49" s="36" t="n">
        <f aca="false">E27</f>
        <v>3.62955977786219</v>
      </c>
      <c r="D49" s="36" t="n">
        <f aca="false">E28</f>
        <v>3.11693448026598</v>
      </c>
      <c r="E49" s="36" t="n">
        <f aca="false">E29</f>
        <v>2.89421026934074</v>
      </c>
      <c r="F49" s="37" t="n">
        <f aca="false">AVERAGE(C49:E49)</f>
        <v>3.21356817582297</v>
      </c>
    </row>
    <row r="50" customFormat="false" ht="15" hidden="false" customHeight="false" outlineLevel="0" collapsed="false">
      <c r="B50" s="32" t="s">
        <v>38</v>
      </c>
      <c r="C50" s="38" t="n">
        <f aca="false">E34</f>
        <v>5.0269891804972</v>
      </c>
      <c r="D50" s="38" t="n">
        <f aca="false">E35</f>
        <v>-11.0231969589534</v>
      </c>
      <c r="E50" s="38" t="n">
        <f aca="false">E36</f>
        <v>4.72662141471587</v>
      </c>
      <c r="F50" s="37" t="n">
        <f aca="false">IFERROR(AVERAGEIF(C50:E50,"&gt;0"),0)</f>
        <v>4.87680529760653</v>
      </c>
    </row>
    <row r="51" customFormat="false" ht="15" hidden="false" customHeight="false" outlineLevel="0" collapsed="false">
      <c r="B51" s="35" t="s">
        <v>32</v>
      </c>
      <c r="C51" s="36" t="n">
        <f aca="false">E41</f>
        <v>5.06515674243917</v>
      </c>
      <c r="D51" s="36" t="n">
        <f aca="false">E42</f>
        <v>-11.2041157634455</v>
      </c>
      <c r="E51" s="36" t="n">
        <f aca="false">E43</f>
        <v>4.74017131699362</v>
      </c>
      <c r="F51" s="37" t="n">
        <f aca="false">IFERROR(AVERAGEIF(C51:E51,"&gt;0"),0)</f>
        <v>4.9026640297164</v>
      </c>
    </row>
    <row r="52" customFormat="false" ht="15" hidden="false" customHeight="false" outlineLevel="0" collapsed="false">
      <c r="B52" s="12" t="s">
        <v>39</v>
      </c>
    </row>
  </sheetData>
  <mergeCells count="7">
    <mergeCell ref="B4:D4"/>
    <mergeCell ref="B11:D11"/>
    <mergeCell ref="B18:D18"/>
    <mergeCell ref="B25:D25"/>
    <mergeCell ref="B32:D32"/>
    <mergeCell ref="B39:D39"/>
    <mergeCell ref="B46:F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3C8C"/>
    <pageSetUpPr fitToPage="false"/>
  </sheetPr>
  <dimension ref="B2:B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10"/>
  </cols>
  <sheetData>
    <row r="2" customFormat="false" ht="15" hidden="false" customHeight="false" outlineLevel="0" collapsed="false">
      <c r="B2" s="39" t="s">
        <v>40</v>
      </c>
    </row>
    <row r="3" customFormat="false" ht="15" hidden="false" customHeight="false" outlineLevel="0" collapsed="false">
      <c r="B3" s="40" t="s">
        <v>41</v>
      </c>
    </row>
    <row r="4" customFormat="false" ht="15" hidden="false" customHeight="false" outlineLevel="0" collapsed="false">
      <c r="B4" s="40" t="s">
        <v>42</v>
      </c>
    </row>
    <row r="5" customFormat="false" ht="23.85" hidden="false" customHeight="false" outlineLevel="0" collapsed="false">
      <c r="B5" s="40" t="s">
        <v>43</v>
      </c>
    </row>
    <row r="6" customFormat="false" ht="15" hidden="false" customHeight="false" outlineLevel="0" collapsed="false">
      <c r="B6" s="40" t="s">
        <v>44</v>
      </c>
    </row>
    <row r="7" customFormat="false" ht="15" hidden="false" customHeight="false" outlineLevel="0" collapsed="false">
      <c r="B7" s="40"/>
    </row>
    <row r="8" customFormat="false" ht="15" hidden="false" customHeight="false" outlineLevel="0" collapsed="false">
      <c r="B8" s="39" t="s">
        <v>45</v>
      </c>
    </row>
    <row r="9" customFormat="false" ht="15" hidden="false" customHeight="false" outlineLevel="0" collapsed="false">
      <c r="B9" s="40" t="s">
        <v>46</v>
      </c>
    </row>
    <row r="10" customFormat="false" ht="15" hidden="false" customHeight="false" outlineLevel="0" collapsed="false">
      <c r="B10" s="40" t="s">
        <v>47</v>
      </c>
    </row>
    <row r="11" customFormat="false" ht="15" hidden="false" customHeight="false" outlineLevel="0" collapsed="false">
      <c r="B11" s="40"/>
    </row>
    <row r="12" customFormat="false" ht="15" hidden="false" customHeight="false" outlineLevel="0" collapsed="false">
      <c r="B12" s="39" t="s">
        <v>48</v>
      </c>
    </row>
    <row r="13" customFormat="false" ht="15" hidden="false" customHeight="false" outlineLevel="0" collapsed="false">
      <c r="B13" s="40" t="s">
        <v>49</v>
      </c>
    </row>
    <row r="14" customFormat="false" ht="15" hidden="false" customHeight="false" outlineLevel="0" collapsed="false">
      <c r="B14" s="40" t="s">
        <v>50</v>
      </c>
    </row>
    <row r="15" customFormat="false" ht="15" hidden="false" customHeight="false" outlineLevel="0" collapsed="false">
      <c r="B15" s="40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2026-09-21T00:44:47Z</dcterms:created>
  <dc:creator>openpyxl</dc:creator>
  <dc:description/>
  <dc:language>en-US</dc:language>
  <cp:lastModifiedBy/>
  <dcterms:modified xsi:type="dcterms:W3CDTF">2026-09-21T00:44:49Z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